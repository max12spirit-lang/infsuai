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  <sheet name="Лист3" sheetId="3" r:id="rId2"/>
    <sheet name="Лист2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6" i="1" l="1"/>
  <c r="F16" i="1"/>
  <c r="H16" i="1"/>
  <c r="E16" i="1"/>
  <c r="I5" i="1" l="1"/>
  <c r="J3" i="1"/>
  <c r="J4" i="1"/>
  <c r="J5" i="1"/>
  <c r="J6" i="1"/>
  <c r="J7" i="1"/>
  <c r="J8" i="1"/>
  <c r="I4" i="1"/>
  <c r="I6" i="1"/>
  <c r="I7" i="1"/>
  <c r="I8" i="1"/>
  <c r="I3" i="1"/>
  <c r="H4" i="1"/>
  <c r="H5" i="1"/>
  <c r="H6" i="1"/>
  <c r="H7" i="1"/>
  <c r="H8" i="1"/>
  <c r="H3" i="1"/>
</calcChain>
</file>

<file path=xl/sharedStrings.xml><?xml version="1.0" encoding="utf-8"?>
<sst xmlns="http://schemas.openxmlformats.org/spreadsheetml/2006/main" count="33" uniqueCount="23">
  <si>
    <t>Иванов Иван Иванович</t>
  </si>
  <si>
    <t>Санкт-Петербург</t>
  </si>
  <si>
    <t>Лапушкин Валерий Федорович</t>
  </si>
  <si>
    <t>Калиточкин Михаил Сергеевич</t>
  </si>
  <si>
    <t>Мурманск</t>
  </si>
  <si>
    <t>н/я</t>
  </si>
  <si>
    <t>Зинаев Дмитрий Алексеевич</t>
  </si>
  <si>
    <t>Архангельск</t>
  </si>
  <si>
    <t>Валюшин Роман Капитонович</t>
  </si>
  <si>
    <t>Калининград</t>
  </si>
  <si>
    <t>Завитушкин Владимир Ильич</t>
  </si>
  <si>
    <t>Фамилия Имя Отчество</t>
  </si>
  <si>
    <t>Город рождения</t>
  </si>
  <si>
    <t>Дата рождения</t>
  </si>
  <si>
    <t>Оценки по курсу</t>
  </si>
  <si>
    <t>Информатика</t>
  </si>
  <si>
    <t>Линейная алгебра</t>
  </si>
  <si>
    <t>Культурология</t>
  </si>
  <si>
    <t>Психология</t>
  </si>
  <si>
    <t>Возраст</t>
  </si>
  <si>
    <t>Ср. оценка</t>
  </si>
  <si>
    <t>&lt;4</t>
  </si>
  <si>
    <t>4-5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</si>
</sst>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6"/>
      <color theme="1"/>
      <name val="Arial"/>
      <family val="2"/>
      <charset val="204"/>
    </font>
    <font>
      <i/>
      <sz val="14"/>
      <color theme="1"/>
      <name val="Garamond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left" vertical="top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1" fillId="2" borderId="0" xfId="0" applyFont="1" applyFill="1" applyAlignment="1"/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2" fillId="0" borderId="1" xfId="0" applyFont="1" applyBorder="1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left" vertical="top"/>
    </xf>
    <xf numFmtId="0" fontId="1" fillId="2" borderId="0" xfId="0" applyFont="1" applyFill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Распределение</a:t>
            </a:r>
            <a:r>
              <a:rPr lang="ru-RU" baseline="0"/>
              <a:t> среднего балла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154-45BF-83F8-A29399147C0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154-45BF-83F8-A29399147C0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154-45BF-83F8-A29399147C01}"/>
              </c:ext>
            </c:extLst>
          </c:dPt>
          <c:cat>
            <c:strRef>
              <c:f>Лист1!$B$15:$B$17</c:f>
              <c:strCache>
                <c:ptCount val="3"/>
                <c:pt idx="0">
                  <c:v>5</c:v>
                </c:pt>
                <c:pt idx="1">
                  <c:v>&lt;4</c:v>
                </c:pt>
                <c:pt idx="2">
                  <c:v>4-5</c:v>
                </c:pt>
              </c:strCache>
            </c:strRef>
          </c:cat>
          <c:val>
            <c:numRef>
              <c:f>Лист1!$C$15:$C$17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154-45BF-83F8-A29399147C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Средний</a:t>
            </a:r>
            <a:r>
              <a:rPr lang="ru-RU" baseline="0"/>
              <a:t> балл по предмету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Лист1!$E$15:$H$15</c:f>
              <c:strCache>
                <c:ptCount val="4"/>
                <c:pt idx="0">
                  <c:v>Информатика</c:v>
                </c:pt>
                <c:pt idx="1">
                  <c:v>Линейная алгебра</c:v>
                </c:pt>
                <c:pt idx="2">
                  <c:v>Культурология</c:v>
                </c:pt>
                <c:pt idx="3">
                  <c:v>Психология</c:v>
                </c:pt>
              </c:strCache>
            </c:strRef>
          </c:cat>
          <c:val>
            <c:numRef>
              <c:f>Лист1!$E$16:$H$16</c:f>
              <c:numCache>
                <c:formatCode>General</c:formatCode>
                <c:ptCount val="4"/>
                <c:pt idx="0">
                  <c:v>4.2</c:v>
                </c:pt>
                <c:pt idx="1">
                  <c:v>4</c:v>
                </c:pt>
                <c:pt idx="2">
                  <c:v>4</c:v>
                </c:pt>
                <c:pt idx="3">
                  <c:v>4.333333333333333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B4-4644-895A-CB928EC07F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613472"/>
        <c:axId val="196617408"/>
      </c:barChart>
      <c:catAx>
        <c:axId val="196613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6617408"/>
        <c:crosses val="autoZero"/>
        <c:auto val="1"/>
        <c:lblAlgn val="ctr"/>
        <c:lblOffset val="100"/>
        <c:noMultiLvlLbl val="0"/>
      </c:catAx>
      <c:valAx>
        <c:axId val="196617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6613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5</xdr:row>
      <xdr:rowOff>0</xdr:rowOff>
    </xdr:from>
    <xdr:to>
      <xdr:col>9</xdr:col>
      <xdr:colOff>304800</xdr:colOff>
      <xdr:row>19</xdr:row>
      <xdr:rowOff>76200</xdr:rowOff>
    </xdr:to>
    <xdr:graphicFrame macro="">
      <xdr:nvGraphicFramePr>
        <xdr:cNvPr id="5" name="Диаграмма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152400</xdr:colOff>
      <xdr:row>3</xdr:row>
      <xdr:rowOff>28575</xdr:rowOff>
    </xdr:from>
    <xdr:to>
      <xdr:col>11</xdr:col>
      <xdr:colOff>457200</xdr:colOff>
      <xdr:row>17</xdr:row>
      <xdr:rowOff>104775</xdr:rowOff>
    </xdr:to>
    <xdr:graphicFrame macro="">
      <xdr:nvGraphicFramePr>
        <xdr:cNvPr id="3" name="Диаграмма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Стандартная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Стандартная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Стандартная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Стандартная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Стандартная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Стандартная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tabSelected="1" zoomScaleNormal="100" workbookViewId="0">
      <pane ySplit="1" topLeftCell="A2" activePane="bottomLeft" state="frozen"/>
      <selection pane="bottomLeft" activeCell="B17" sqref="B17"/>
    </sheetView>
  </sheetViews>
  <sheetFormatPr defaultRowHeight="15" x14ac:dyDescent="0.25"/>
  <cols>
    <col min="1" max="1" width="37.28515625" bestFit="1" customWidth="1"/>
    <col min="2" max="2" width="26.7109375" bestFit="1" customWidth="1"/>
    <col min="3" max="3" width="24.28515625" bestFit="1" customWidth="1"/>
    <col min="4" max="4" width="22.28515625" bestFit="1" customWidth="1"/>
    <col min="5" max="5" width="29.42578125" bestFit="1" customWidth="1"/>
    <col min="6" max="6" width="24" bestFit="1" customWidth="1"/>
    <col min="7" max="7" width="19.42578125" bestFit="1" customWidth="1"/>
    <col min="8" max="8" width="13.42578125" bestFit="1" customWidth="1"/>
    <col min="9" max="9" width="17.85546875" bestFit="1" customWidth="1"/>
  </cols>
  <sheetData>
    <row r="1" spans="1:11" ht="20.25" x14ac:dyDescent="0.3">
      <c r="A1" s="9" t="s">
        <v>11</v>
      </c>
      <c r="B1" s="9" t="s">
        <v>12</v>
      </c>
      <c r="C1" s="9" t="s">
        <v>13</v>
      </c>
      <c r="D1" s="9" t="s">
        <v>14</v>
      </c>
      <c r="E1" s="9"/>
      <c r="F1" s="9"/>
      <c r="G1" s="9"/>
      <c r="H1" s="4" t="s">
        <v>19</v>
      </c>
      <c r="I1" s="10" t="s">
        <v>20</v>
      </c>
    </row>
    <row r="2" spans="1:11" ht="20.25" x14ac:dyDescent="0.3">
      <c r="A2" s="9"/>
      <c r="B2" s="9"/>
      <c r="C2" s="9"/>
      <c r="D2" s="1" t="s">
        <v>15</v>
      </c>
      <c r="E2" s="1" t="s">
        <v>16</v>
      </c>
      <c r="F2" s="1" t="s">
        <v>17</v>
      </c>
      <c r="G2" s="1" t="s">
        <v>18</v>
      </c>
      <c r="H2" s="4"/>
      <c r="I2" s="10"/>
      <c r="K2">
        <v>2.4</v>
      </c>
    </row>
    <row r="3" spans="1:11" ht="18.75" x14ac:dyDescent="0.3">
      <c r="A3" s="2" t="s">
        <v>0</v>
      </c>
      <c r="B3" s="2" t="s">
        <v>1</v>
      </c>
      <c r="C3" s="3">
        <v>39345</v>
      </c>
      <c r="D3" s="2">
        <v>5</v>
      </c>
      <c r="E3" s="2">
        <v>3</v>
      </c>
      <c r="F3" s="2">
        <v>4</v>
      </c>
      <c r="G3" s="2">
        <v>4</v>
      </c>
      <c r="H3" s="7">
        <f ca="1">(YEAR(NOW())-YEAR(C3))</f>
        <v>19</v>
      </c>
      <c r="I3" s="7">
        <f>AVERAGE((D3:G3))</f>
        <v>4</v>
      </c>
      <c r="J3" s="7">
        <f>I4*$K$2</f>
        <v>9.6</v>
      </c>
    </row>
    <row r="4" spans="1:11" ht="18.75" x14ac:dyDescent="0.3">
      <c r="A4" s="2" t="s">
        <v>2</v>
      </c>
      <c r="B4" s="2" t="s">
        <v>1</v>
      </c>
      <c r="C4" s="3">
        <v>38944</v>
      </c>
      <c r="D4" s="2">
        <v>4</v>
      </c>
      <c r="E4" s="2">
        <v>4</v>
      </c>
      <c r="F4" s="2">
        <v>4</v>
      </c>
      <c r="G4" s="2">
        <v>4</v>
      </c>
      <c r="H4" s="7">
        <f t="shared" ref="H4:H8" ca="1" si="0">(YEAR(NOW())-YEAR(C4))</f>
        <v>20</v>
      </c>
      <c r="I4" s="7">
        <f t="shared" ref="I4:I8" si="1">AVERAGE((D4:G4))</f>
        <v>4</v>
      </c>
      <c r="J4" s="7">
        <f t="shared" ref="J4:J8" si="2">I5*$K$2</f>
        <v>8.7999999999999989</v>
      </c>
    </row>
    <row r="5" spans="1:11" ht="18.75" x14ac:dyDescent="0.3">
      <c r="A5" s="2" t="s">
        <v>3</v>
      </c>
      <c r="B5" s="2" t="s">
        <v>4</v>
      </c>
      <c r="C5" s="3">
        <v>38052</v>
      </c>
      <c r="D5" s="2" t="s">
        <v>5</v>
      </c>
      <c r="E5" s="2">
        <v>3</v>
      </c>
      <c r="F5" s="2">
        <v>4</v>
      </c>
      <c r="G5" s="2">
        <v>4</v>
      </c>
      <c r="H5" s="7">
        <f t="shared" ca="1" si="0"/>
        <v>22</v>
      </c>
      <c r="I5" s="7">
        <f>AVERAGE((D5:G5))</f>
        <v>3.6666666666666665</v>
      </c>
      <c r="J5" s="7">
        <f t="shared" si="2"/>
        <v>12</v>
      </c>
    </row>
    <row r="6" spans="1:11" ht="18.75" x14ac:dyDescent="0.3">
      <c r="A6" s="2" t="s">
        <v>6</v>
      </c>
      <c r="B6" s="2" t="s">
        <v>7</v>
      </c>
      <c r="C6" s="3">
        <v>39075</v>
      </c>
      <c r="D6" s="2">
        <v>5</v>
      </c>
      <c r="E6" s="2">
        <v>5</v>
      </c>
      <c r="F6" s="2">
        <v>5</v>
      </c>
      <c r="G6" s="2">
        <v>5</v>
      </c>
      <c r="H6" s="7">
        <f t="shared" ca="1" si="0"/>
        <v>20</v>
      </c>
      <c r="I6" s="7">
        <f t="shared" si="1"/>
        <v>5</v>
      </c>
      <c r="J6" s="7">
        <f t="shared" si="2"/>
        <v>8.7999999999999989</v>
      </c>
    </row>
    <row r="7" spans="1:11" ht="18.75" x14ac:dyDescent="0.3">
      <c r="A7" s="2" t="s">
        <v>8</v>
      </c>
      <c r="B7" s="2" t="s">
        <v>9</v>
      </c>
      <c r="C7" s="3">
        <v>39124</v>
      </c>
      <c r="D7" s="2">
        <v>3</v>
      </c>
      <c r="E7" s="2" t="s">
        <v>5</v>
      </c>
      <c r="F7" s="2">
        <v>4</v>
      </c>
      <c r="G7" s="2">
        <v>4</v>
      </c>
      <c r="H7" s="7">
        <f t="shared" ca="1" si="0"/>
        <v>19</v>
      </c>
      <c r="I7" s="7">
        <f t="shared" si="1"/>
        <v>3.6666666666666665</v>
      </c>
      <c r="J7" s="7">
        <f t="shared" si="2"/>
        <v>10.199999999999999</v>
      </c>
    </row>
    <row r="8" spans="1:11" ht="18.75" x14ac:dyDescent="0.3">
      <c r="A8" s="2" t="s">
        <v>10</v>
      </c>
      <c r="B8" s="2" t="s">
        <v>1</v>
      </c>
      <c r="C8" s="3">
        <v>38977</v>
      </c>
      <c r="D8" s="2">
        <v>4</v>
      </c>
      <c r="E8" s="2">
        <v>5</v>
      </c>
      <c r="F8" s="2">
        <v>3</v>
      </c>
      <c r="G8" s="2">
        <v>5</v>
      </c>
      <c r="H8" s="7">
        <f t="shared" ca="1" si="0"/>
        <v>20</v>
      </c>
      <c r="I8" s="7">
        <f t="shared" si="1"/>
        <v>4.25</v>
      </c>
      <c r="J8" s="7">
        <f t="shared" si="2"/>
        <v>0</v>
      </c>
    </row>
    <row r="12" spans="1:11" x14ac:dyDescent="0.25">
      <c r="A12">
        <v>4</v>
      </c>
      <c r="B12" s="5" t="s">
        <v>22</v>
      </c>
    </row>
    <row r="13" spans="1:11" x14ac:dyDescent="0.25">
      <c r="A13">
        <v>4</v>
      </c>
      <c r="B13" s="5" t="s">
        <v>22</v>
      </c>
    </row>
    <row r="14" spans="1:11" x14ac:dyDescent="0.25">
      <c r="A14">
        <v>3.6666666666666665</v>
      </c>
      <c r="B14" s="6" t="s">
        <v>21</v>
      </c>
      <c r="E14" s="8"/>
      <c r="F14" s="8"/>
      <c r="G14" s="8"/>
      <c r="H14" s="8"/>
    </row>
    <row r="15" spans="1:11" x14ac:dyDescent="0.25">
      <c r="A15">
        <v>5</v>
      </c>
      <c r="B15" s="6">
        <v>5</v>
      </c>
      <c r="C15">
        <v>1</v>
      </c>
      <c r="E15" t="s">
        <v>15</v>
      </c>
      <c r="F15" t="s">
        <v>16</v>
      </c>
      <c r="G15" t="s">
        <v>17</v>
      </c>
      <c r="H15" t="s">
        <v>18</v>
      </c>
    </row>
    <row r="16" spans="1:11" x14ac:dyDescent="0.25">
      <c r="A16">
        <v>3.6666666666666665</v>
      </c>
      <c r="B16" s="6" t="s">
        <v>21</v>
      </c>
      <c r="C16">
        <v>2</v>
      </c>
      <c r="E16">
        <f>AVERAGE(D3:D8)</f>
        <v>4.2</v>
      </c>
      <c r="F16">
        <f t="shared" ref="F16:H16" si="3">AVERAGE(E3:E8)</f>
        <v>4</v>
      </c>
      <c r="G16">
        <f>AVERAGE(F3:F8)</f>
        <v>4</v>
      </c>
      <c r="H16">
        <f t="shared" si="3"/>
        <v>4.333333333333333</v>
      </c>
    </row>
    <row r="17" spans="1:3" x14ac:dyDescent="0.25">
      <c r="A17">
        <v>4.25</v>
      </c>
      <c r="B17" s="5" t="s">
        <v>22</v>
      </c>
      <c r="C17">
        <v>3</v>
      </c>
    </row>
  </sheetData>
  <mergeCells count="6">
    <mergeCell ref="I1:I2"/>
    <mergeCell ref="E14:H14"/>
    <mergeCell ref="A1:A2"/>
    <mergeCell ref="B1:B2"/>
    <mergeCell ref="C1:C2"/>
    <mergeCell ref="D1:G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M10" sqref="M10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H11" sqref="H11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Лист3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2026-10-08T09:38:45Z</dcterms:modified>
</cp:coreProperties>
</file>